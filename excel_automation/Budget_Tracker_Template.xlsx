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ctrlProps/ctrlProps2.xml" ContentType="application/vnd.ms-excel.control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thly Budget" sheetId="1" state="visible" r:id="rId3"/>
  </sheets>
  <definedNames>
    <definedName function="true" hidden="false" name="com.github.amourspirit.extensions.librepythonista.PyImpl.pyc" vbProcedure="true">#NAME?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<sst xmlns="http://schemas.openxmlformats.org/spreadsheetml/2006/main" count="13" uniqueCount="13">
  <si>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Department</t>
  </si>
  <si>
    <t xml:space="preserve">Budget Amount</t>
  </si>
  <si>
    <t xml:space="preserve">Actual Spend</t>
  </si>
  <si>
    <t xml:space="preserve">Variance</t>
  </si>
  <si>
    <t xml:space="preserve">Status</t>
  </si>
  <si>
    <t xml:space="preserve">Finance</t>
  </si>
  <si>
    <t xml:space="preserve">HR</t>
  </si>
  <si>
    <t xml:space="preserve">Sales</t>
  </si>
  <si>
    <t xml:space="preserve">Operations</t>
  </si>
  <si>
    <t xml:space="preserve">Admin</t>
  </si>
  <si>
    <t xml:space="preserve">Within Budget</t>
  </si>
  <si>
    <t xml:space="preserve">Marketing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</si>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</sst>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E2EFDA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E2EFDA"/>
      </left>
      <right style="thin">
        <color rgb="FFE2EFDA"/>
      </right>
      <top style="thin">
        <color rgb="FFE2EFDA"/>
      </top>
      <bottom style="thin">
        <color rgb="FFE2EF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0" fillId="3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 standalone="yes"?>
<xdr:wsDr xmlns:xdr="http://schemas.openxmlformats.org/drawingml/2006/spreadsheetDrawing" xmlns:a="http://schemas.openxmlformats.org/drawingml/2006/main" xmlns:r="http://schemas.openxmlformats.org/officeDocument/2006/relationships"><mc:AlternateContent xmlns:mc="http://schemas.openxmlformats.org/markup-compatibility/2006"><mc:Choice xmlns:a14="http://schemas.microsoft.com/office/drawing/2010/main" Requires="a14"><xdr:twoCellAnchor editAs="oneCell"><xdr:from><xdr:col>6</xdr:col><xdr:colOff>0</xdr:colOff><xdr:row>4</xdr:row><xdr:rowOff>0</xdr:rowOff></xdr:from><xdr:to><xdr:col>7</xdr:col><xdr:colOff>-447480</xdr:colOff><xdr:row>5</xdr:row><xdr:rowOff>360</xdr:rowOff></xdr:to><xdr:sp><xdr:nvSpPr><xdr:cNvPr id="1001" name="libre_pythonista_ctl_cell_id_wf1VFjKD60mkUO" descr="&lt;&gt;" hidden="0"/><xdr:cNvSpPr/></xdr:nvSpPr><xdr:spPr><a:xfrm><a:off x="0" y="0"/><a:ext cx="0" cy="0"/></a:xfrm><a:prstGeom prst="rect"><a:avLst/></a:prstGeom></xdr:spPr><xdr:txBody><a:bodyPr anchor="ctr"><a:noAutofit/></a:bodyPr><a:p><a:r><a:t><></a:t></a:r></a:p></xdr:txBody></xdr:sp><xdr:clientData/></xdr:twoCellAnchor></mc:Choice></mc:AlternateContent>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1" activeCellId="0" sqref="N1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8.01"/>
    <col collapsed="false" customWidth="true" hidden="false" outlineLevel="0" max="3" min="2" style="2" width="15.01"/>
    <col collapsed="false" customWidth="true" hidden="false" outlineLevel="0" max="4" min="4" style="1" width="12.01"/>
    <col collapsed="false" customWidth="true" hidden="false" outlineLevel="0" max="5" min="5" style="1" width="16.01"/>
  </cols>
  <sheetData>
    <row r="1" customFormat="false" ht="19.5" hidden="false" customHeight="true" outlineLevel="0" collapsed="false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</row>
    <row r="2" customFormat="false" ht="18.75" hidden="false" customHeight="true" outlineLevel="0" collapsed="false">
      <c r="A2" s="5" t="s">
        <v>5</v>
      </c>
      <c r="B2" s="6" t="n">
        <v>10000</v>
      </c>
      <c r="C2" s="6" t="n">
        <v>9500</v>
      </c>
      <c r="D2" s="7" t="n">
        <f aca="false">B2-C2</f>
        <v>500</v>
      </c>
      <c r="E2" s="7" t="str">
        <f aca="false">IF(D2&lt;0,"Over Budget","Within Budget")</f>
        <v>Within Budget</v>
      </c>
    </row>
    <row r="3" customFormat="false" ht="18.75" hidden="false" customHeight="true" outlineLevel="0" collapsed="false">
      <c r="A3" s="5" t="s">
        <v>6</v>
      </c>
      <c r="B3" s="6" t="n">
        <v>8000</v>
      </c>
      <c r="C3" s="6" t="n">
        <v>8200</v>
      </c>
      <c r="D3" s="7" t="n">
        <f aca="false">B3-C3</f>
        <v>-200</v>
      </c>
      <c r="E3" s="7" t="str">
        <f aca="false">IF(D3&lt;0,"Over Budget","Within Budget")</f>
        <v>Over Budget</v>
      </c>
    </row>
    <row r="4" customFormat="false" ht="18.75" hidden="false" customHeight="true" outlineLevel="0" collapsed="false">
      <c r="A4" s="5" t="s">
        <v>7</v>
      </c>
      <c r="B4" s="6" t="n">
        <v>15000</v>
      </c>
      <c r="C4" s="6" t="n">
        <v>16500</v>
      </c>
      <c r="D4" s="7" t="n">
        <f aca="false">B4-C4</f>
        <v>-1500</v>
      </c>
      <c r="E4" s="7" t="str">
        <f aca="false">IF(D4&lt;0,"Over Budget","Within Budget")</f>
        <v>Over Budget</v>
      </c>
    </row>
    <row r="5" customFormat="false" ht="18.75" hidden="false" customHeight="true" outlineLevel="0" collapsed="false">
      <c r="A5" s="5" t="s">
        <v>8</v>
      </c>
      <c r="B5" s="6" t="n">
        <v>12000</v>
      </c>
      <c r="C5" s="6" t="n">
        <v>11000</v>
      </c>
      <c r="D5" s="7" t="n">
        <f aca="false">B5-C5</f>
        <v>1000</v>
      </c>
      <c r="E5" s="7" t="str">
        <f aca="false">IF(D5&lt;0,"Over Budget","Within Budget")</f>
        <v>Within Budget</v>
      </c>
      <c r="G5" s="8" t="str">
        <f aca="true">COM.GITHUB.AMOURSPIRIT.EXTENSIONS.LIBREPYTHONISTA.PYIMPL.PYC(_xlfn.SHEET(),CELL("ADDRESS"))</f>
        <v/>
      </c>
    </row>
    <row r="6" customFormat="false" ht="18.75" hidden="false" customHeight="true" outlineLevel="0" collapsed="false">
      <c r="A6" s="1" t="s">
        <v>9</v>
      </c>
      <c r="B6" s="2" t="n">
        <v>58000</v>
      </c>
      <c r="C6" s="2" t="n">
        <v>30000</v>
      </c>
      <c r="D6" s="1" t="e">
        <f aca="false">
=</f>
        <v>#VALUE!</v>
      </c>
      <c r="E6" s="1" t="s">
        <v>10</v>
      </c>
    </row>
    <row r="7" customFormat="false" ht="18.75" hidden="false" customHeight="true" outlineLevel="0" collapsed="false">
      <c r="A7" s="5" t="s">
        <v>11</v>
      </c>
      <c r="B7" s="6" t="n">
        <v>7000</v>
      </c>
      <c r="C7" s="6" t="n">
        <v>6800</v>
      </c>
      <c r="D7" s="7" t="n">
        <f aca="false">B7-C7</f>
        <v>200</v>
      </c>
      <c r="E7" s="7" t="str">
        <f aca="false">IF(D7&lt;0, "Over Budget", "Within Budget")</f>
        <v>Within Budget</v>
      </c>
    </row>
    <row r="8" customFormat="false" ht="18.75" hidden="false" customHeight="true" outlineLevel="0" collapsed="false"/>
    <row r="9" customFormat="false" ht="19.5" hidden="false" customHeight="true" outlineLevel="0" collapsed="false">
      <c r="A9" s="9" t="s">
        <v>12</v>
      </c>
      <c r="B9" s="10" t="n">
        <f aca="false">SUM(B2:B7)</f>
        <v>110000</v>
      </c>
      <c r="C9" s="10" t="n">
        <f aca="false">SUM(C2:C7)</f>
        <v>82000</v>
      </c>
      <c r="D9" s="9" t="e">
        <f aca="false">SUM(D2:D7)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libre_pythonista_ctl_cell_id_wf1VFjKD60mkUO">
              <controlPr defaultSize="0" print="false" autoFill="0" autoPict="0">
                <anchor moveWithCells="true" sizeWithCells="false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7</xdr:col>
                    <xdr:colOff>-447480</xdr:colOff>
                    <xdr:row>5</xdr:row>
                    <xdr:rowOff>360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LibreOffice/25.8.3.2$Windows_X86_64 LibreOffice_project/8ca8d55c161d602844f5428fa4b58097424e324e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2025-12-09T01:54:40Z</dcterms:created>
  <dc:creator/>
  <dc:description/>
  <dc:language>en-US</dc:language>
  <cp:lastModifiedBy/>
  <dcterms:modified xsi:type="dcterms:W3CDTF">2025-12-09T09:00:41Z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