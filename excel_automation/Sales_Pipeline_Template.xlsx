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5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Lead ID</t>
        </is>
      </c>
      <c r="B1" s="1" t="inlineStr">
        <is>
          <t>Company Name</t>
        </is>
      </c>
      <c r="C1" s="1" t="inlineStr">
        <is>
          <t>Contact</t>
        </is>
      </c>
      <c r="D1" s="1" t="inlineStr">
        <is>
          <t>Phone</t>
        </is>
      </c>
      <c r="E1" s="1" t="inlineStr">
        <is>
          <t>Lead Stage</t>
        </is>
      </c>
      <c r="F1" s="1" t="inlineStr">
        <is>
          <t>Deal Value</t>
        </is>
      </c>
      <c r="G1" s="1" t="inlineStr">
        <is>
          <t>Expected Close</t>
        </is>
      </c>
      <c r="H1" s="1" t="inlineStr">
        <is>
          <t>Last Contact</t>
        </is>
      </c>
    </row>
    <row r="2">
      <c r="A2" s="2" t="n">
        <v>1001</v>
      </c>
      <c r="B2" s="3" t="inlineStr">
        <is>
          <t>TechCorp Ltd</t>
        </is>
      </c>
      <c r="C2" s="3" t="inlineStr">
        <is>
          <t>Raj Kumar</t>
        </is>
      </c>
      <c r="D2" s="3" t="inlineStr">
        <is>
          <t>9876543210</t>
        </is>
      </c>
      <c r="E2" s="3" t="inlineStr">
        <is>
          <t>Qualification</t>
        </is>
      </c>
      <c r="F2" s="2" t="n">
        <v>50000</v>
      </c>
      <c r="G2" s="3" t="inlineStr">
        <is>
          <t>2025-01-15</t>
        </is>
      </c>
      <c r="H2" s="3" t="inlineStr">
        <is>
          <t>2025-12-08</t>
        </is>
      </c>
    </row>
    <row r="3">
      <c r="A3" s="2" t="n">
        <v>1002</v>
      </c>
      <c r="B3" s="3" t="inlineStr">
        <is>
          <t>RetailMax Inc</t>
        </is>
      </c>
      <c r="C3" s="3" t="inlineStr">
        <is>
          <t>Priya Singh</t>
        </is>
      </c>
      <c r="D3" s="3" t="inlineStr">
        <is>
          <t>9876543211</t>
        </is>
      </c>
      <c r="E3" s="3" t="inlineStr">
        <is>
          <t>Proposal</t>
        </is>
      </c>
      <c r="F3" s="2" t="n">
        <v>75000</v>
      </c>
      <c r="G3" s="3" t="inlineStr">
        <is>
          <t>2025-01-20</t>
        </is>
      </c>
      <c r="H3" s="3" t="inlineStr">
        <is>
          <t>2025-12-05</t>
        </is>
      </c>
    </row>
    <row r="4">
      <c r="A4" s="2" t="n">
        <v>1003</v>
      </c>
      <c r="B4" s="3" t="inlineStr">
        <is>
          <t>FinServe Solutions</t>
        </is>
      </c>
      <c r="C4" s="3" t="inlineStr">
        <is>
          <t>Arjun Nair</t>
        </is>
      </c>
      <c r="D4" s="3" t="inlineStr">
        <is>
          <t>9876543212</t>
        </is>
      </c>
      <c r="E4" s="3" t="inlineStr">
        <is>
          <t>Negotiation</t>
        </is>
      </c>
      <c r="F4" s="2" t="n">
        <v>120000</v>
      </c>
      <c r="G4" s="3" t="inlineStr">
        <is>
          <t>2025-02-10</t>
        </is>
      </c>
      <c r="H4" s="3" t="inlineStr">
        <is>
          <t>2025-12-08</t>
        </is>
      </c>
    </row>
    <row r="5">
      <c r="A5" s="2" t="n">
        <v>1004</v>
      </c>
      <c r="B5" s="3" t="inlineStr">
        <is>
          <t>CloudFirst Systems</t>
        </is>
      </c>
      <c r="C5" s="3" t="inlineStr">
        <is>
          <t>Deepika Gupta</t>
        </is>
      </c>
      <c r="D5" s="3" t="inlineStr">
        <is>
          <t>9876543213</t>
        </is>
      </c>
      <c r="E5" s="3" t="inlineStr">
        <is>
          <t>Qualification</t>
        </is>
      </c>
      <c r="F5" s="2" t="n">
        <v>40000</v>
      </c>
      <c r="G5" s="3" t="inlineStr">
        <is>
          <t>2025-01-25</t>
        </is>
      </c>
      <c r="H5" s="3" t="inlineStr">
        <is>
          <t>2025-12-06</t>
        </is>
      </c>
    </row>
    <row r="6">
      <c r="A6" s="2" t="n">
        <v>1005</v>
      </c>
      <c r="B6" s="3" t="inlineStr">
        <is>
          <t>DataCore Analytics</t>
        </is>
      </c>
      <c r="C6" s="3" t="inlineStr">
        <is>
          <t>Vikram Patel</t>
        </is>
      </c>
      <c r="D6" s="3" t="inlineStr">
        <is>
          <t>9876543214</t>
        </is>
      </c>
      <c r="E6" s="3" t="inlineStr">
        <is>
          <t>Closed Won</t>
        </is>
      </c>
      <c r="F6" s="2" t="n">
        <v>95000</v>
      </c>
      <c r="G6" s="3" t="inlineStr">
        <is>
          <t>2025-12-01</t>
        </is>
      </c>
      <c r="H6" s="3" t="inlineStr">
        <is>
          <t>2025-12-08</t>
        </is>
      </c>
    </row>
    <row r="8">
      <c r="A8" s="4" t="inlineStr">
        <is>
          <t>Stage Summary</t>
        </is>
      </c>
    </row>
    <row r="9">
      <c r="A9" t="inlineStr">
        <is>
          <t>Qualification</t>
        </is>
      </c>
      <c r="B9" s="5">
        <f>SUMIF(E:E,"Qualification",F:F)</f>
        <v/>
      </c>
    </row>
    <row r="10">
      <c r="A10" t="inlineStr">
        <is>
          <t>Proposal</t>
        </is>
      </c>
      <c r="B10" s="5">
        <f>SUMIF(E:E,"Proposal",F:F)</f>
        <v/>
      </c>
    </row>
    <row r="11">
      <c r="A11" t="inlineStr">
        <is>
          <t>Negotiation</t>
        </is>
      </c>
      <c r="B11" s="5">
        <f>SUMIF(E:E,"Negotiation",F:F)</f>
        <v/>
      </c>
    </row>
    <row r="12">
      <c r="A12" t="inlineStr">
        <is>
          <t>Closed Won</t>
        </is>
      </c>
      <c r="B12" s="5">
        <f>SUMIF(E:E,"Closed Won",F:F)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2025-12-09T01:44:48Z</dcterms:created>
  <dcterms:modified xmlns:dcterms="http://purl.org/dc/terms/" xmlns:xsi="http://www.w3.org/2001/XMLSchema-instance" xsi:type="dcterms:W3CDTF">2025-12-09T01:44:48Z</dcterms:modified>
</cp:coreProperties>
</file>